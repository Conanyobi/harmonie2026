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93a8bd3f6f45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ilan journalier" sheetId="1" r:id="Rea10d791dca34024"/>
    <x:sheet xmlns:r="http://schemas.openxmlformats.org/officeDocument/2006/relationships" name="Interventions patients" sheetId="2" r:id="R5f7097a7b98f437c"/>
    <x:sheet xmlns:r="http://schemas.openxmlformats.org/officeDocument/2006/relationships" name="Notes de saisie" sheetId="3" r:id="R66812747ecde4d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AF6"/>
      </x:patternFill>
    </x:fill>
  </x:fills>
  <x:borders count="2">
    <x:border/>
    <x:border/>
  </x:borders>
  <x:cellStyleXfs count="1">
    <x:xf numFmtId="0" fontId="0" fillId="0" borderId="0"/>
  </x:cellStyleXfs>
  <x:cellXfs count="1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2c58b8c6d34c58" /><Relationship Type="http://schemas.openxmlformats.org/officeDocument/2006/relationships/theme" Target="/xl/theme/theme1.xml" Id="R0c0279d1affc4855" /><Relationship Type="http://schemas.openxmlformats.org/officeDocument/2006/relationships/sharedStrings" Target="/xl/sharedStrings.xml" Id="R9960f68e4e774656" /><Relationship Type="http://schemas.openxmlformats.org/officeDocument/2006/relationships/worksheet" Target="/xl/worksheets/sheet1.xml" Id="Rea10d791dca34024" /><Relationship Type="http://schemas.openxmlformats.org/officeDocument/2006/relationships/worksheet" Target="/xl/worksheets/sheet2.xml" Id="R5f7097a7b98f437c" /><Relationship Type="http://schemas.openxmlformats.org/officeDocument/2006/relationships/worksheet" Target="/xl/worksheets/sheet3.xml" Id="R66812747ecde4df5" /></Relationships>
</file>

<file path=xl/tables/table1.xml><?xml version="1.0" encoding="utf-8"?>
<x:table xmlns:x="http://schemas.openxmlformats.org/spreadsheetml/2006/main" id="1" name="BilanJournalier" displayName="BilanJournalier" ref="A1:W8" headerRowCount="1" totalsRowCount="0" totalsRowShown="0">
  <x:tableColumns count="23">
    <x:tableColumn id="1" name="Date"/>
    <x:tableColumn id="2" name="Consultations total"/>
    <x:tableColumn id="3" name="Bilans santé total"/>
    <x:tableColumn id="4" name="VIP chinois"/>
    <x:tableColumn id="5" name="VIP ivoiriens"/>
    <x:tableColumn id="6" name="Hospitalisations entrées"/>
    <x:tableColumn id="7" name="Hospitalisations sorties"/>
    <x:tableColumn id="8" name="Patients hospitalisés"/>
    <x:tableColumn id="9" name="Chirurgie total"/>
    <x:tableColumn id="10" name="Chirurgie ambulatoire"/>
    <x:tableColumn id="11" name="Chirurgie avec hospitalisation"/>
    <x:tableColumn id="12" name="Consultations à bord"/>
    <x:tableColumn id="13" name="Examens total"/>
    <x:tableColumn id="14" name="CT"/>
    <x:tableColumn id="15" name="DR"/>
    <x:tableColumn id="16" name="Échographie"/>
    <x:tableColumn id="17" name="ECG"/>
    <x:tableColumn id="18" name="Analyses laboratoire"/>
    <x:tableColumn id="19" name="Anatomopathologie"/>
    <x:tableColumn id="20" name="Endoscopie digestive"/>
    <x:tableColumn id="21" name="Équipe médicale (actes)"/>
    <x:tableColumn id="22" name="Ordonnances"/>
    <x:tableColumn id="23" name="Médicaments délivrés (boîtes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tientsInterventions" displayName="PatientsInterventions" ref="A1:F23" headerRowCount="1" totalsRowCount="0" totalsRowShown="0">
  <x:tableColumns count="6">
    <x:tableColumn id="1" name="N°"/>
    <x:tableColumn id="2" name="Date intervention"/>
    <x:tableColumn id="3" name="Intervention chirurgicale"/>
    <x:tableColumn id="4" name="Patient"/>
    <x:tableColumn id="5" name="Sexe"/>
    <x:tableColumn id="6" name="Â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d83aa38c91947f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c8b8983f63543e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</x:cols>
  <x:sheetData>
    <x:row r="1" ht="54" customHeight="1">
      <x:c r="A1" s="8" t="str">
        <x:v>Date</x:v>
      </x:c>
      <x:c r="B1" s="8" t="str">
        <x:v>Consultations total</x:v>
      </x:c>
      <x:c r="C1" s="8" t="str">
        <x:v>Bilans santé total</x:v>
      </x:c>
      <x:c r="D1" s="8" t="str">
        <x:v>VIP chinois</x:v>
      </x:c>
      <x:c r="E1" s="8" t="str">
        <x:v>VIP ivoiriens</x:v>
      </x:c>
      <x:c r="F1" s="8" t="str">
        <x:v>Hospitalisations entrées</x:v>
      </x:c>
      <x:c r="G1" s="8" t="str">
        <x:v>Hospitalisations sorties</x:v>
      </x:c>
      <x:c r="H1" s="8" t="str">
        <x:v>Patients hospitalisés</x:v>
      </x:c>
      <x:c r="I1" s="8" t="str">
        <x:v>Chirurgie total</x:v>
      </x:c>
      <x:c r="J1" s="8" t="str">
        <x:v>Chirurgie ambulatoire</x:v>
      </x:c>
      <x:c r="K1" s="8" t="str">
        <x:v>Chirurgie avec hospitalisation</x:v>
      </x:c>
      <x:c r="L1" s="8" t="str">
        <x:v>Consultations à bord</x:v>
      </x:c>
      <x:c r="M1" s="8" t="str">
        <x:v>Examens total</x:v>
      </x:c>
      <x:c r="N1" s="8" t="str">
        <x:v>CT</x:v>
      </x:c>
      <x:c r="O1" s="8" t="str">
        <x:v>DR</x:v>
      </x:c>
      <x:c r="P1" s="8" t="str">
        <x:v>Échographie</x:v>
      </x:c>
      <x:c r="Q1" s="8" t="str">
        <x:v>ECG</x:v>
      </x:c>
      <x:c r="R1" s="8" t="str">
        <x:v>Analyses laboratoire</x:v>
      </x:c>
      <x:c r="S1" s="8" t="str">
        <x:v>Anatomopathologie</x:v>
      </x:c>
      <x:c r="T1" s="8" t="str">
        <x:v>Endoscopie digestive</x:v>
      </x:c>
      <x:c r="U1" s="8" t="str">
        <x:v>Équipe médicale (actes)</x:v>
      </x:c>
      <x:c r="V1" s="8" t="str">
        <x:v>Ordonnances</x:v>
      </x:c>
      <x:c r="W1" s="8" t="str">
        <x:v>Médicaments délivrés (boîtes)</x:v>
      </x:c>
    </x:row>
    <x:row r="2">
      <x:c r="A2" t="str">
        <x:v>2026-10-14</x:v>
      </x:c>
      <x:c r="B2" t="n">
        <x:v>440</x:v>
      </x:c>
      <x:c r="C2" t="n">
        <x:v>0</x:v>
      </x:c>
      <x:c r="D2" t="n">
        <x:v>0</x:v>
      </x:c>
      <x:c r="E2" t="n">
        <x:v>0</x:v>
      </x:c>
      <x:c r="F2" t="n">
        <x:v>0</x:v>
      </x:c>
      <x:c r="G2" t="n">
        <x:v>0</x:v>
      </x:c>
      <x:c r="H2" t="n">
        <x:v>0</x:v>
      </x:c>
      <x:c r="I2" t="n">
        <x:v>2</x:v>
      </x:c>
      <x:c r="J2" t="n">
        <x:v>2</x:v>
      </x:c>
      <x:c r="K2" t="n">
        <x:v>0</x:v>
      </x:c>
      <x:c r="L2" t="n">
        <x:v>440</x:v>
      </x:c>
      <x:c r="M2" t="n">
        <x:v>216</x:v>
      </x:c>
      <x:c r="N2" t="n">
        <x:v>43</x:v>
      </x:c>
      <x:c r="O2" t="n">
        <x:v>9</x:v>
      </x:c>
      <x:c r="P2" t="n">
        <x:v>67</x:v>
      </x:c>
      <x:c r="Q2" t="n">
        <x:v>26</x:v>
      </x:c>
      <x:c r="R2" t="n">
        <x:v>71</x:v>
      </x:c>
      <x:c r="S2" t="n">
        <x:v>0</x:v>
      </x:c>
      <x:c r="T2" t="n">
        <x:v>0</x:v>
      </x:c>
      <x:c r="U2" t="n">
        <x:v>0</x:v>
      </x:c>
      <x:c r="V2" t="n">
        <x:v>247</x:v>
      </x:c>
      <x:c r="W2" s="15" t="n">
        <x:v>989</x:v>
      </x:c>
    </x:row>
    <x:row r="3">
      <x:c r="A3" t="str">
        <x:v>2026-10-15</x:v>
      </x:c>
      <x:c r="B3" t="n">
        <x:v>453</x:v>
      </x:c>
      <x:c r="C3" t="n">
        <x:v>33</x:v>
      </x:c>
      <x:c r="D3" t="n">
        <x:v>22</x:v>
      </x:c>
      <x:c r="E3" t="n">
        <x:v>11</x:v>
      </x:c>
      <x:c r="F3" t="n">
        <x:v>5</x:v>
      </x:c>
      <x:c r="G3" t="n">
        <x:v>3</x:v>
      </x:c>
      <x:c r="H3" t="n">
        <x:v>2</x:v>
      </x:c>
      <x:c r="I3" t="n">
        <x:v>5</x:v>
      </x:c>
      <x:c r="J3" t="n">
        <x:v>0</x:v>
      </x:c>
      <x:c r="K3" t="n">
        <x:v>5</x:v>
      </x:c>
      <x:c r="L3" t="n">
        <x:v>420</x:v>
      </x:c>
      <x:c r="M3" t="n">
        <x:v>477</x:v>
      </x:c>
      <x:c r="N3" t="n">
        <x:v>60</x:v>
      </x:c>
      <x:c r="O3" t="n">
        <x:v>17</x:v>
      </x:c>
      <x:c r="P3" t="n">
        <x:v>91</x:v>
      </x:c>
      <x:c r="Q3" t="n">
        <x:v>51</x:v>
      </x:c>
      <x:c r="R3" t="n">
        <x:v>256</x:v>
      </x:c>
      <x:c r="S3" t="n">
        <x:v>2</x:v>
      </x:c>
      <x:c r="T3" t="n">
        <x:v>0</x:v>
      </x:c>
      <x:c r="U3" t="n">
        <x:v>0</x:v>
      </x:c>
      <x:c r="V3" t="n">
        <x:v>236</x:v>
      </x:c>
      <x:c r="W3" s="15" t="n">
        <x:v>963</x:v>
      </x:c>
    </x:row>
    <x:row r="4">
      <x:c r="A4" t="str">
        <x:v>2026-10-16</x:v>
      </x:c>
      <x:c r="B4" t="n">
        <x:v>1161</x:v>
      </x:c>
      <x:c r="C4" t="n">
        <x:v>30</x:v>
      </x:c>
      <x:c r="D4" t="n">
        <x:v>0</x:v>
      </x:c>
      <x:c r="E4" t="n">
        <x:v>30</x:v>
      </x:c>
      <x:c r="F4" t="n">
        <x:v>7</x:v>
      </x:c>
      <x:c r="G4" t="n">
        <x:v>7</x:v>
      </x:c>
      <x:c r="H4" t="n">
        <x:v>2</x:v>
      </x:c>
      <x:c r="I4" t="n">
        <x:v>9</x:v>
      </x:c>
      <x:c r="J4" t="n">
        <x:v>3</x:v>
      </x:c>
      <x:c r="K4" t="n">
        <x:v>6</x:v>
      </x:c>
      <x:c r="L4" t="n">
        <x:v>891</x:v>
      </x:c>
      <x:c r="M4" t="n">
        <x:v>642</x:v>
      </x:c>
      <x:c r="N4" t="n">
        <x:v>155</x:v>
      </x:c>
      <x:c r="O4" t="n">
        <x:v>29</x:v>
      </x:c>
      <x:c r="P4" t="n">
        <x:v>125</x:v>
      </x:c>
      <x:c r="Q4" t="n">
        <x:v>64</x:v>
      </x:c>
      <x:c r="R4" t="n">
        <x:v>268</x:v>
      </x:c>
      <x:c r="S4" t="n">
        <x:v>1</x:v>
      </x:c>
      <x:c r="T4" t="n">
        <x:v>5</x:v>
      </x:c>
      <x:c r="U4" t="n">
        <x:v>240</x:v>
      </x:c>
      <x:c r="V4" t="n">
        <x:v>879</x:v>
      </x:c>
      <x:c r="W4" s="15" t="n">
        <x:v>3760</x:v>
      </x:c>
    </x:row>
    <x:row r="5">
      <x:c r="A5" t="str">
        <x:v>2026-10-17</x:v>
      </x:c>
      <x:c r="B5" t="n">
        <x:v>1616</x:v>
      </x:c>
      <x:c r="C5" t="n">
        <x:v>4</x:v>
      </x:c>
      <x:c r="D5" t="n">
        <x:v>0</x:v>
      </x:c>
      <x:c r="E5" t="n">
        <x:v>4</x:v>
      </x:c>
      <x:c r="F5" t="n">
        <x:v>5</x:v>
      </x:c>
      <x:c r="G5" t="n">
        <x:v>1</x:v>
      </x:c>
      <x:c r="H5" t="n">
        <x:v>6</x:v>
      </x:c>
      <x:c r="I5" t="n">
        <x:v>6</x:v>
      </x:c>
      <x:c r="J5" t="n">
        <x:v>2</x:v>
      </x:c>
      <x:c r="K5" t="n">
        <x:v>4</x:v>
      </x:c>
      <x:c r="L5" t="n">
        <x:v>1412</x:v>
      </x:c>
      <x:c r="M5" t="n">
        <x:v>388</x:v>
      </x:c>
      <x:c r="N5" t="n">
        <x:v>73</x:v>
      </x:c>
      <x:c r="O5" t="n">
        <x:v>52</x:v>
      </x:c>
      <x:c r="P5" t="n">
        <x:v>115</x:v>
      </x:c>
      <x:c r="Q5" t="n">
        <x:v>31</x:v>
      </x:c>
      <x:c r="R5" t="n">
        <x:v>115</x:v>
      </x:c>
      <x:c r="S5" t="n">
        <x:v>2</x:v>
      </x:c>
      <x:c r="T5" t="n">
        <x:v>0</x:v>
      </x:c>
      <x:c r="U5" t="n">
        <x:v>200</x:v>
      </x:c>
      <x:c r="V5" t="n">
        <x:v>1145</x:v>
      </x:c>
      <x:c r="W5" s="15" t="n">
        <x:v>5216</x:v>
      </x:c>
    </x:row>
    <x:row r="6">
      <x:c r="A6" t="str">
        <x:v>2026-10-18</x:v>
      </x:c>
      <x:c r="B6" t="n">
        <x:v>1405</x:v>
      </x:c>
      <x:c r="C6" t="n">
        <x:v>0</x:v>
      </x:c>
      <x:c r="D6" t="n">
        <x:v>0</x:v>
      </x:c>
      <x:c r="E6" t="n">
        <x:v>0</x:v>
      </x:c>
      <x:c r="F6" t="n">
        <x:v>3</x:v>
      </x:c>
      <x:c r="G6" t="n">
        <x:v>4</x:v>
      </x:c>
      <x:c r="H6" t="n">
        <x:v>5</x:v>
      </x:c>
      <x:c r="I6" t="n">
        <x:v>9</x:v>
      </x:c>
      <x:c r="J6" t="n">
        <x:v>5</x:v>
      </x:c>
      <x:c r="K6" t="n">
        <x:v>4</x:v>
      </x:c>
      <x:c r="L6" t="n">
        <x:v>1405</x:v>
      </x:c>
      <x:c r="M6" t="n">
        <x:v>432</x:v>
      </x:c>
      <x:c r="N6" t="n">
        <x:v>92</x:v>
      </x:c>
      <x:c r="O6" t="n">
        <x:v>49</x:v>
      </x:c>
      <x:c r="P6" t="n">
        <x:v>122</x:v>
      </x:c>
      <x:c r="Q6" t="n">
        <x:v>35</x:v>
      </x:c>
      <x:c r="R6" t="n">
        <x:v>128</x:v>
      </x:c>
      <x:c r="S6" t="n">
        <x:v>6</x:v>
      </x:c>
      <x:c r="T6" t="n">
        <x:v>0</x:v>
      </x:c>
      <x:c r="U6" t="n">
        <x:v>0</x:v>
      </x:c>
      <x:c r="V6" t="n">
        <x:v>864</x:v>
      </x:c>
      <x:c r="W6" s="15" t="n">
        <x:v>4054</x:v>
      </x:c>
    </x:row>
    <x:row r="7">
      <x:c r="A7" t="str">
        <x:v>2026-10-19</x:v>
      </x:c>
      <x:c r="B7" t="n">
        <x:v>1617</x:v>
      </x:c>
      <x:c r="C7" t="n">
        <x:v>1</x:v>
      </x:c>
      <x:c r="D7" t="n">
        <x:v>0</x:v>
      </x:c>
      <x:c r="E7" t="n">
        <x:v>1</x:v>
      </x:c>
      <x:c r="F7" t="n">
        <x:v>3</x:v>
      </x:c>
      <x:c r="G7" t="n">
        <x:v>6</x:v>
      </x:c>
      <x:c r="H7" t="n">
        <x:v>2</x:v>
      </x:c>
      <x:c r="I7" t="n">
        <x:v>6</x:v>
      </x:c>
      <x:c r="J7" t="n">
        <x:v>3</x:v>
      </x:c>
      <x:c r="K7" t="n">
        <x:v>3</x:v>
      </x:c>
      <x:c r="L7" t="n">
        <x:v>1516</x:v>
      </x:c>
      <x:c r="M7" t="n">
        <x:v>320</x:v>
      </x:c>
      <x:c r="N7" t="n">
        <x:v>67</x:v>
      </x:c>
      <x:c r="O7" t="n">
        <x:v>38</x:v>
      </x:c>
      <x:c r="P7" t="n">
        <x:v>115</x:v>
      </x:c>
      <x:c r="Q7" t="n">
        <x:v>32</x:v>
      </x:c>
      <x:c r="R7" t="n">
        <x:v>66</x:v>
      </x:c>
      <x:c r="S7" t="n">
        <x:v>2</x:v>
      </x:c>
      <x:c r="T7" t="n">
        <x:v>5</x:v>
      </x:c>
      <x:c r="U7" t="n">
        <x:v>100</x:v>
      </x:c>
      <x:c r="V7" t="n">
        <x:v>1098</x:v>
      </x:c>
      <x:c r="W7" s="15" t="n">
        <x:v>4452</x:v>
      </x:c>
    </x:row>
    <x:row r="8">
      <x:c r="A8" t="str">
        <x:v>2026-10-20</x:v>
      </x:c>
      <x:c r="B8" t="n">
        <x:v>874</x:v>
      </x:c>
      <x:c r="C8" t="n">
        <x:v>0</x:v>
      </x:c>
      <x:c r="D8" t="n">
        <x:v>0</x:v>
      </x:c>
      <x:c r="E8" t="n">
        <x:v>0</x:v>
      </x:c>
      <x:c r="F8" t="n">
        <x:v>0</x:v>
      </x:c>
      <x:c r="G8" t="n">
        <x:v>2</x:v>
      </x:c>
      <x:c r="H8" t="n">
        <x:v>0</x:v>
      </x:c>
      <x:c r="I8" t="n">
        <x:v>1</x:v>
      </x:c>
      <x:c r="J8" t="n">
        <x:v>1</x:v>
      </x:c>
      <x:c r="K8" t="n">
        <x:v>0</x:v>
      </x:c>
      <x:c r="L8" t="n">
        <x:v>874</x:v>
      </x:c>
      <x:c r="M8" t="n">
        <x:v>263</x:v>
      </x:c>
      <x:c r="N8" t="n">
        <x:v>76</x:v>
      </x:c>
      <x:c r="O8" t="n">
        <x:v>13</x:v>
      </x:c>
      <x:c r="P8" t="n">
        <x:v>74</x:v>
      </x:c>
      <x:c r="Q8" t="n">
        <x:v>13</x:v>
      </x:c>
      <x:c r="R8" t="n">
        <x:v>86</x:v>
      </x:c>
      <x:c r="S8" t="n">
        <x:v>1</x:v>
      </x:c>
      <x:c r="T8" t="n">
        <x:v>0</x:v>
      </x:c>
      <x:c r="U8" t="n">
        <x:v>0</x:v>
      </x:c>
      <x:c r="V8" t="n">
        <x:v>495</x:v>
      </x:c>
      <x:c r="W8" s="15" t="n">
        <x:v>2653</x:v>
      </x:c>
    </x:row>
    <x:row r="9">
      <x:c r="A9" s="12" t="str">
        <x:v>TOTAL (calculé)</x:v>
      </x:c>
      <x:c r="B9" s="12" t="n">
        <x:f>SUM(B2:B8)</x:f>
        <x:v>7566</x:v>
      </x:c>
      <x:c r="C9" s="12" t="n">
        <x:f>SUM(C2:C8)</x:f>
        <x:v>68</x:v>
      </x:c>
      <x:c r="D9" s="12" t="n">
        <x:f>SUM(D2:D8)</x:f>
        <x:v>22</x:v>
      </x:c>
      <x:c r="E9" s="12" t="n">
        <x:f>SUM(E2:E8)</x:f>
        <x:v>46</x:v>
      </x:c>
      <x:c r="F9" s="12" t="n">
        <x:f>SUM(F2:F8)</x:f>
        <x:v>23</x:v>
      </x:c>
      <x:c r="G9" s="12" t="n">
        <x:f>SUM(G2:G8)</x:f>
        <x:v>23</x:v>
      </x:c>
      <x:c r="H9" s="12" t="n">
        <x:f>SUM(H2:H8)</x:f>
        <x:v>17</x:v>
      </x:c>
      <x:c r="I9" s="12" t="n">
        <x:f>SUM(I2:I8)</x:f>
        <x:v>38</x:v>
      </x:c>
      <x:c r="J9" s="12" t="n">
        <x:f>SUM(J2:J8)</x:f>
        <x:v>16</x:v>
      </x:c>
      <x:c r="K9" s="12" t="n">
        <x:f>SUM(K2:K8)</x:f>
        <x:v>22</x:v>
      </x:c>
      <x:c r="L9" s="12" t="n">
        <x:f>SUM(L2:L8)</x:f>
        <x:v>6958</x:v>
      </x:c>
      <x:c r="M9" s="12" t="n">
        <x:f>SUM(M2:M8)</x:f>
        <x:v>2738</x:v>
      </x:c>
      <x:c r="N9" s="12" t="n">
        <x:f>SUM(N2:N8)</x:f>
        <x:v>566</x:v>
      </x:c>
      <x:c r="O9" s="12" t="n">
        <x:f>SUM(O2:O8)</x:f>
        <x:v>207</x:v>
      </x:c>
      <x:c r="P9" s="12" t="n">
        <x:f>SUM(P2:P8)</x:f>
        <x:v>709</x:v>
      </x:c>
      <x:c r="Q9" s="12" t="n">
        <x:f>SUM(Q2:Q8)</x:f>
        <x:v>252</x:v>
      </x:c>
      <x:c r="R9" s="12" t="n">
        <x:f>SUM(R2:R8)</x:f>
        <x:v>990</x:v>
      </x:c>
      <x:c r="S9" s="12" t="n">
        <x:f>SUM(S2:S8)</x:f>
        <x:v>14</x:v>
      </x:c>
      <x:c r="T9" s="12" t="n">
        <x:f>SUM(T2:T8)</x:f>
        <x:v>10</x:v>
      </x:c>
      <x:c r="U9" s="12" t="n">
        <x:f>SUM(U2:U8)</x:f>
        <x:v>540</x:v>
      </x:c>
      <x:c r="V9" s="12" t="n">
        <x:f>SUM(V2:V8)</x:f>
        <x:v>4964</x:v>
      </x:c>
      <x:c r="W9" s="16" t="n">
        <x:f>SUM(W2:W8)</x:f>
        <x:v>22087</x:v>
      </x:c>
    </x:row>
  </x:sheetData>
  <x:pageMargins left="0.7" right="0.7" top="0.75" bottom="0.75" header="0.3" footer="0.3"/>
  <x:tableParts count="1">
    <x:tablePart xmlns:r="http://schemas.openxmlformats.org/officeDocument/2006/relationships" r:id="R9d83aa38c91947f2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65" hidden="0" customWidth="1"/>
    <x:col min="4" max="4" width="28" hidden="0" customWidth="1"/>
    <x:col min="5" max="5" width="19" hidden="0" customWidth="1"/>
    <x:col min="6" max="6" width="19" hidden="0" customWidth="1"/>
  </x:cols>
  <x:sheetData>
    <x:row r="1" ht="24" customHeight="1">
      <x:c r="A1" s="6" t="str">
        <x:v>N°</x:v>
      </x:c>
      <x:c r="B1" s="6" t="str">
        <x:v>Date intervention</x:v>
      </x:c>
      <x:c r="C1" s="6" t="str">
        <x:v>Intervention chirurgicale</x:v>
      </x:c>
      <x:c r="D1" s="6" t="str">
        <x:v>Patient</x:v>
      </x:c>
      <x:c r="E1" s="6" t="str">
        <x:v>Sexe</x:v>
      </x:c>
      <x:c r="F1" s="6" t="str">
        <x:v>Âge</x:v>
      </x:c>
    </x:row>
    <x:row r="2" ht="24" customHeight="1">
      <x:c r="A2" t="n">
        <x:v>1</x:v>
      </x:c>
      <x:c r="B2" t="str">
        <x:v>2026-10-15</x:v>
      </x:c>
      <x:c r="C2" t="str">
        <x:v>Phacoémulsification de la cataracte</x:v>
      </x:c>
      <x:c r="D2" t="str">
        <x:v>DIAYE</x:v>
      </x:c>
      <x:c r="E2" t="str">
        <x:v>Homme</x:v>
      </x:c>
      <x:c r="F2" t="n">
        <x:v>35</x:v>
      </x:c>
    </x:row>
    <x:row r="3" ht="24" customHeight="1">
      <x:c r="A3" t="n">
        <x:v>2</x:v>
      </x:c>
      <x:c r="B3" t="str">
        <x:v>2026-10-15</x:v>
      </x:c>
      <x:c r="C3" t="str">
        <x:v>Phacoémulsification de la cataracte</x:v>
      </x:c>
      <x:c r="D3" t="str">
        <x:v>SORO</x:v>
      </x:c>
      <x:c r="E3" t="str">
        <x:v>Homme</x:v>
      </x:c>
      <x:c r="F3" t="n">
        <x:v>47</x:v>
      </x:c>
    </x:row>
    <x:row r="4" ht="24" customHeight="1">
      <x:c r="A4" t="n">
        <x:v>3</x:v>
      </x:c>
      <x:c r="B4" t="str">
        <x:v>2026-10-15</x:v>
      </x:c>
      <x:c r="C4" t="str">
        <x:v>Phacoémulsification de la cataracte</x:v>
      </x:c>
      <x:c r="D4" t="str">
        <x:v>KEITA Ibrahim</x:v>
      </x:c>
      <x:c r="E4" t="str">
        <x:v>Homme</x:v>
      </x:c>
      <x:c r="F4" t="n">
        <x:v>23</x:v>
      </x:c>
    </x:row>
    <x:row r="5" ht="24" customHeight="1">
      <x:c r="A5" t="n">
        <x:v>4</x:v>
      </x:c>
      <x:c r="B5" t="str">
        <x:v>2026-10-15</x:v>
      </x:c>
      <x:c r="C5" t="str">
        <x:v>Antrostomie sinusienne multiple sous endoscopie nasale</x:v>
      </x:c>
      <x:c r="D5" t="str">
        <x:v>胡兵强</x:v>
      </x:c>
      <x:c r="E5" t="str">
        <x:v>Homme</x:v>
      </x:c>
      <x:c r="F5" t="n">
        <x:v>62</x:v>
      </x:c>
    </x:row>
    <x:row r="6" ht="24" customHeight="1">
      <x:c r="A6" t="n">
        <x:v>5</x:v>
      </x:c>
      <x:c r="B6" t="str">
        <x:v>2026-10-15</x:v>
      </x:c>
      <x:c r="C6" t="str">
        <x:v>Incision et drainage d’un abcès de la glande de Bartholin</x:v>
      </x:c>
      <x:c r="D6" t="str">
        <x:v>COULIBALY</x:v>
      </x:c>
      <x:c r="E6" t="str">
        <x:v>Femme</x:v>
      </x:c>
      <x:c r="F6" t="n">
        <x:v>43</x:v>
      </x:c>
    </x:row>
    <x:row r="7" ht="24" customHeight="1">
      <x:c r="A7" t="n">
        <x:v>6</x:v>
      </x:c>
      <x:c r="B7" t="str">
        <x:v>2026-10-16</x:v>
      </x:c>
      <x:c r="C7" t="str">
        <x:v>Phacoémulsification de la cataracte</x:v>
      </x:c>
      <x:c r="D7" t="str">
        <x:v>HOUNSOUN</x:v>
      </x:c>
      <x:c r="E7" t="str">
        <x:v>Femme</x:v>
      </x:c>
      <x:c r="F7" t="n">
        <x:v>68</x:v>
      </x:c>
    </x:row>
    <x:row r="8" ht="24" customHeight="1">
      <x:c r="A8" t="n">
        <x:v>7</x:v>
      </x:c>
      <x:c r="B8" t="str">
        <x:v>2026-10-16</x:v>
      </x:c>
      <x:c r="C8" t="str">
        <x:v>Phacoémulsification de la cataracte</x:v>
      </x:c>
      <x:c r="D8" t="str">
        <x:v>ILBOUDO</x:v>
      </x:c>
      <x:c r="E8" t="str">
        <x:v>Femme</x:v>
      </x:c>
      <x:c r="F8" t="n">
        <x:v>19</x:v>
      </x:c>
    </x:row>
    <x:row r="9" ht="24" customHeight="1">
      <x:c r="A9" t="n">
        <x:v>8</x:v>
      </x:c>
      <x:c r="B9" t="str">
        <x:v>2026-10-16</x:v>
      </x:c>
      <x:c r="C9" t="str">
        <x:v>Phacoémulsification de la cataracte</x:v>
      </x:c>
      <x:c r="D9" t="str">
        <x:v>COULIBALY</x:v>
      </x:c>
      <x:c r="E9" t="str">
        <x:v>Homme</x:v>
      </x:c>
      <x:c r="F9" t="n">
        <x:v>61</x:v>
      </x:c>
    </x:row>
    <x:row r="10" ht="24" customHeight="1">
      <x:c r="A10" t="n">
        <x:v>9</x:v>
      </x:c>
      <x:c r="B10" t="str">
        <x:v>2026-10-16</x:v>
      </x:c>
      <x:c r="C10" t="str">
        <x:v>Phacoémulsification de la cataracte</x:v>
      </x:c>
      <x:c r="D10" t="str">
        <x:v>NEMLIN</x:v>
      </x:c>
      <x:c r="E10" t="str">
        <x:v>Homme</x:v>
      </x:c>
      <x:c r="F10" t="n">
        <x:v>40</x:v>
      </x:c>
    </x:row>
    <x:row r="11" ht="24" customHeight="1">
      <x:c r="A11" t="n">
        <x:v>10</x:v>
      </x:c>
      <x:c r="B11" t="str">
        <x:v>2026-10-16</x:v>
      </x:c>
      <x:c r="C11" t="str">
        <x:v>Cure de hernie inguinale sans tension sous cœlioscopie</x:v>
      </x:c>
      <x:c r="D11" t="str">
        <x:v>TRAORE</x:v>
      </x:c>
      <x:c r="E11" t="str">
        <x:v>Homme</x:v>
      </x:c>
      <x:c r="F11" t="n">
        <x:v>53</x:v>
      </x:c>
    </x:row>
    <x:row r="12" ht="24" customHeight="1">
      <x:c r="A12" t="n">
        <x:v>11</x:v>
      </x:c>
      <x:c r="B12" t="str">
        <x:v>2026-10-16</x:v>
      </x:c>
      <x:c r="C12" t="str">
        <x:v>Phacoémulsification de la cataracte</x:v>
      </x:c>
      <x:c r="D12" t="str">
        <x:v>AMBET</x:v>
      </x:c>
      <x:c r="E12" t="str">
        <x:v>Homme</x:v>
      </x:c>
      <x:c r="F12" t="n">
        <x:v>47</x:v>
      </x:c>
    </x:row>
    <x:row r="13" ht="24" customHeight="1">
      <x:c r="A13" t="n">
        <x:v>12</x:v>
      </x:c>
      <x:c r="B13" t="str">
        <x:v>2026-10-17</x:v>
      </x:c>
      <x:c r="C13" t="str">
        <x:v>Phacoémulsification de la cataracte</x:v>
      </x:c>
      <x:c r="D13" t="str">
        <x:v>KOUASSI</x:v>
      </x:c>
      <x:c r="E13" t="str">
        <x:v>Homme</x:v>
      </x:c>
      <x:c r="F13" t="n">
        <x:v>45</x:v>
      </x:c>
    </x:row>
    <x:row r="14" ht="24" customHeight="1">
      <x:c r="A14" t="n">
        <x:v>13</x:v>
      </x:c>
      <x:c r="B14" t="str">
        <x:v>2026-10-17</x:v>
      </x:c>
      <x:c r="C14" t="str">
        <x:v>Alcoolisation percutanée d’un nodule thyroïdien à l’éthanol absolu</x:v>
      </x:c>
      <x:c r="D14" t="str">
        <x:v>DIBATE</x:v>
      </x:c>
      <x:c r="E14" t="str">
        <x:v>Femme</x:v>
      </x:c>
      <x:c r="F14" t="n">
        <x:v>60</x:v>
      </x:c>
    </x:row>
    <x:row r="15" ht="24" customHeight="1">
      <x:c r="A15" t="n">
        <x:v>14</x:v>
      </x:c>
      <x:c r="B15" t="str">
        <x:v>2026-10-17</x:v>
      </x:c>
      <x:c r="C15" t="str">
        <x:v>Thyroïdectomie partielle</x:v>
      </x:c>
      <x:c r="D15" t="str">
        <x:v>DOSSO</x:v>
      </x:c>
      <x:c r="E15" t="str">
        <x:v>Femme</x:v>
      </x:c>
      <x:c r="F15" t="n">
        <x:v>41</x:v>
      </x:c>
    </x:row>
    <x:row r="16" ht="24" customHeight="1">
      <x:c r="A16" t="n">
        <x:v>15</x:v>
      </x:c>
      <x:c r="B16" t="str">
        <x:v>2026-10-17</x:v>
      </x:c>
      <x:c r="C16" t="str">
        <x:v>Exérèse de lipome</x:v>
      </x:c>
      <x:c r="D16" t="str">
        <x:v>DOGAD Hortense Marc chris</x:v>
      </x:c>
      <x:c r="E16" t="str">
        <x:v>Femme</x:v>
      </x:c>
      <x:c r="F16" t="n">
        <x:v>68</x:v>
      </x:c>
    </x:row>
    <x:row r="17" ht="24" customHeight="1">
      <x:c r="A17" t="n">
        <x:v>16</x:v>
      </x:c>
      <x:c r="B17" t="str">
        <x:v>2026-10-18</x:v>
      </x:c>
      <x:c r="C17" t="str">
        <x:v>Exérèse de ptérygion avec autogreffe conjonctivale</x:v>
      </x:c>
      <x:c r="D17" t="str">
        <x:v>SALAWU</x:v>
      </x:c>
      <x:c r="E17" t="str">
        <x:v>Homme</x:v>
      </x:c>
      <x:c r="F17" t="n">
        <x:v>58</x:v>
      </x:c>
    </x:row>
    <x:row r="18" ht="24" customHeight="1">
      <x:c r="A18" t="n">
        <x:v>17</x:v>
      </x:c>
      <x:c r="B18" t="str">
        <x:v>2026-10-18</x:v>
      </x:c>
      <x:c r="C18" t="str">
        <x:v>Phacoémulsification de la cataracte avec implantation de lentille intraoculaire</x:v>
      </x:c>
      <x:c r="D18" t="str">
        <x:v>AblonAbraBrigitte</x:v>
      </x:c>
      <x:c r="E18" t="str">
        <x:v>Femme</x:v>
      </x:c>
      <x:c r="F18" t="n">
        <x:v>51</x:v>
      </x:c>
    </x:row>
    <x:row r="19" ht="24" customHeight="1">
      <x:c r="A19" t="n">
        <x:v>18</x:v>
      </x:c>
      <x:c r="B19" t="str">
        <x:v>2026-10-18</x:v>
      </x:c>
      <x:c r="C19" t="str">
        <x:v>Exérèse de ptérygion avec autogreffe conjonctivale</x:v>
      </x:c>
      <x:c r="D19" t="str">
        <x:v>EDI</x:v>
      </x:c>
      <x:c r="E19" t="str">
        <x:v>Homme</x:v>
      </x:c>
      <x:c r="F19" t="n">
        <x:v>56</x:v>
      </x:c>
    </x:row>
    <x:row r="20" ht="24" customHeight="1">
      <x:c r="A20" t="n">
        <x:v>19</x:v>
      </x:c>
      <x:c r="B20" t="str">
        <x:v>2026-10-18</x:v>
      </x:c>
      <x:c r="C20" t="str">
        <x:v>Cure de hernie inguinale oblique sans tension</x:v>
      </x:c>
      <x:c r="D20" t="str">
        <x:v>BY COUNSTANT</x:v>
      </x:c>
      <x:c r="E20" t="str">
        <x:v>Homme</x:v>
      </x:c>
      <x:c r="F20" t="n">
        <x:v>58</x:v>
      </x:c>
    </x:row>
    <x:row r="21" ht="24" customHeight="1">
      <x:c r="A21" t="n">
        <x:v>20</x:v>
      </x:c>
      <x:c r="B21" t="str">
        <x:v>2026-10-19</x:v>
      </x:c>
      <x:c r="C21" t="str">
        <x:v>Phacoémulsification de la cataracte avec implantation de lentille intraoculaire</x:v>
      </x:c>
      <x:c r="D21" t="str">
        <x:v>FOFANA FATOUMA</x:v>
      </x:c>
      <x:c r="E21" t="str">
        <x:v>Femme</x:v>
      </x:c>
      <x:c r="F21" t="n">
        <x:v>65</x:v>
      </x:c>
    </x:row>
    <x:row r="22" ht="24" customHeight="1">
      <x:c r="A22" t="n">
        <x:v>21</x:v>
      </x:c>
      <x:c r="B22" t="str">
        <x:v>2026-10-19</x:v>
      </x:c>
      <x:c r="C22" t="str">
        <x:v>Phacoémulsification de la cataracte avec implantation de lentille intraoculaire</x:v>
      </x:c>
      <x:c r="D22" t="str">
        <x:v>DIANE MAMADOU</x:v>
      </x:c>
      <x:c r="E22" t="str">
        <x:v>Femme</x:v>
      </x:c>
      <x:c r="F22" t="n">
        <x:v>39</x:v>
      </x:c>
    </x:row>
    <x:row r="23" ht="24" customHeight="1">
      <x:c r="A23" t="n">
        <x:v>22</x:v>
      </x:c>
      <x:c r="B23" t="str">
        <x:v>2026-10-19</x:v>
      </x:c>
      <x:c r="C23" t="str">
        <x:v>Phacoémulsification de la cataracte avec implantation de lentille intraoculaire</x:v>
      </x:c>
      <x:c r="D23" t="str">
        <x:v>TINZAN BI</x:v>
      </x:c>
      <x:c r="E23" t="str">
        <x:v>Femme</x:v>
      </x:c>
      <x:c r="F23" t="n">
        <x:v>65</x:v>
      </x:c>
    </x:row>
  </x:sheetData>
  <x:pageMargins left="0.7" right="0.7" top="0.75" bottom="0.75" header="0.3" footer="0.3"/>
  <x:tableParts count="1">
    <x:tablePart xmlns:r="http://schemas.openxmlformats.org/officeDocument/2006/relationships" r:id="Rcc8b8983f63543e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0" hidden="0" customWidth="1"/>
  </x:cols>
  <x:sheetData>
    <x:row r="1">
      <x:c r="A1" t="str">
        <x:v>Élément</x:v>
      </x:c>
      <x:c r="B1" t="str">
        <x:v>Note</x:v>
      </x:c>
    </x:row>
    <x:row r="2">
      <x:c r="A2" t="str">
        <x:v>Source</x:v>
      </x:c>
      <x:c r="B2" t="str">
        <x:v>Bilan_Chinois.pdf, pages 1 et 2</x:v>
      </x:c>
    </x:row>
    <x:row r="3">
      <x:c r="A3" t="str">
        <x:v>Période</x:v>
      </x:c>
      <x:c r="B3" t="str">
        <x:v>14 au 20 octobre 2026</x:v>
      </x:c>
    </x:row>
    <x:row r="4">
      <x:c r="A4" t="str">
        <x:v>Qualité</x:v>
      </x:c>
      <x:c r="B4" t="str">
        <x:v>Transcription visuelle du PDF numérisé ; vérifier les chiffres sur la source avant diffusion officielle.</x:v>
      </x:c>
    </x:row>
    <x:row r="5">
      <x:c r="A5" t="str">
        <x:v>Médicaments délivrés</x:v>
      </x:c>
      <x:c r="B5" t="str">
        <x:v>Valeurs des médicaments renseignées selon les corrections communiquées : total 22 087 boîtes.</x:v>
      </x:c>
    </x:row>
    <x:row r="6">
      <x:c r="A6" t="str">
        <x:v>Corrections ordonnances</x:v>
      </x:c>
      <x:c r="B6" t="str">
        <x:v>18/10/2026 : 694 → 864 ; 20/10/2026 : 405 → 495.</x:v>
      </x:c>
    </x:row>
  </x:sheetData>
  <x:pageMargins left="0.7" right="0.7" top="0.75" bottom="0.75" header="0.3" footer="0.3"/>
</x:worksheet>
</file>