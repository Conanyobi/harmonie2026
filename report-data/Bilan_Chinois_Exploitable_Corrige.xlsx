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Bilan journalier" sheetId="1" state="visible" r:id="rId1"/>
    <sheet name="Interventions patients" sheetId="2" state="visible" r:id="rId2"/>
    <sheet name="Notes de saisie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<sst xmlns="http://schemas.openxmlformats.org/spreadsheetml/2006/main" count="82" uniqueCount="82">
  <si>
    <t>Date</t>
  </si>
  <si>
    <t xml:space="preserve">Consultations total</t>
  </si>
  <si>
    <t xml:space="preserve">Bilans santé total</t>
  </si>
  <si>
    <t xml:space="preserve">Bilans santé VIP chinois</t>
  </si>
  <si>
    <t xml:space="preserve">Bilans santé VIP ivoiriens</t>
  </si>
  <si>
    <t xml:space="preserve">Hospitalisations entrées</t>
  </si>
  <si>
    <t xml:space="preserve">Hospitalisations sorties</t>
  </si>
  <si>
    <t xml:space="preserve">Patients hospitalisés</t>
  </si>
  <si>
    <t xml:space="preserve">Chirurgie total</t>
  </si>
  <si>
    <t xml:space="preserve">Chirurgie ambulatoire</t>
  </si>
  <si>
    <t xml:space="preserve">Chirurgie avec hospitalisation</t>
  </si>
  <si>
    <t xml:space="preserve">Consultations à bord</t>
  </si>
  <si>
    <t xml:space="preserve">Examens total</t>
  </si>
  <si>
    <t>CT</t>
  </si>
  <si>
    <t>DR</t>
  </si>
  <si>
    <t>Échographie</t>
  </si>
  <si>
    <t>ECG</t>
  </si>
  <si>
    <t xml:space="preserve">Analyses laboratoire</t>
  </si>
  <si>
    <t>Anatomopathologie</t>
  </si>
  <si>
    <t xml:space="preserve">Endoscopie digestive</t>
  </si>
  <si>
    <t xml:space="preserve">Équipe médicale (actes)</t>
  </si>
  <si>
    <t>Ordonnances</t>
  </si>
  <si>
    <t xml:space="preserve">Médicaments délivrés (boîtes)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</si>
  <si>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</si>
  <si>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</si>
  <si>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</si>
  <si>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</si>
  <si>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</si>
  <si>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</si>
  <si>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</si>
  <si>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 xml:space="preserve">TOTAL (calculé)</t>
  </si>
  <si>
    <t>N°</t>
  </si>
  <si>
    <t xml:space="preserve">Date intervention</t>
  </si>
  <si>
    <t xml:space="preserve">Intervention chirurgicale</t>
  </si>
  <si>
    <t>Patient</t>
  </si>
  <si>
    <t>Sexe</t>
  </si>
  <si>
    <t>Âge</t>
  </si>
  <si>
    <t xml:space="preserve">Phacoémulsification de la cataracte</t>
  </si>
  <si>
    <t>DIAYE</t>
  </si>
  <si>
    <t>Homme</t>
  </si>
  <si>
    <t>SORO</t>
  </si>
  <si>
    <t xml:space="preserve">KEITA Ibrahim</t>
  </si>
  <si>
    <t xml:space="preserve">Antrostomie sinusienne multiple sous endoscopie nasale</t>
  </si>
  <si>
    <t>胡兵强</t>
  </si>
  <si>
    <t xml:space="preserve">Incision et drainage d’un abcès de la glande de Bartholin</t>
  </si>
  <si>
    <t>COULIBALY</t>
  </si>
  <si>
    <t>Femme</t>
  </si>
  <si>
    <t>HOUNSOUN</t>
  </si>
  <si>
    <t>ILBOUDO</t>
  </si>
  <si>
    <t>NEMLIN</t>
  </si>
  <si>
    <t xml:space="preserve">Cure de hernie inguinale sans tension sous cœlioscopie</t>
  </si>
  <si>
    <t>TRAORE</t>
  </si>
  <si>
    <t>AMBET</t>
  </si>
  <si>
    <t>KOUASSI</t>
  </si>
  <si>
    <t xml:space="preserve">Alcoolisation percutanée d’un nodule thyroïdien à l’éthanol absolu</t>
  </si>
  <si>
    <t>DIBATE</t>
  </si>
  <si>
    <t xml:space="preserve">Thyroïdectomie partielle</t>
  </si>
  <si>
    <t>DOSSO</t>
  </si>
  <si>
    <t xml:space="preserve">Exérèse de lipome</t>
  </si>
  <si>
    <t xml:space="preserve">DOGAD Hortense Marc chris</t>
  </si>
  <si>
    <t xml:space="preserve">Exérèse de ptérygion avec autogreffe conjonctivale</t>
  </si>
  <si>
    <t>SALAWU</t>
  </si>
  <si>
    <t xml:space="preserve">Phacoémulsification de la cataracte avec implantation de lentille intraoculaire</t>
  </si>
  <si>
    <t>AblonAbraBrigitte</t>
  </si>
  <si>
    <t>EDI</t>
  </si>
  <si>
    <t xml:space="preserve">Cure de hernie inguinale oblique sans tension</t>
  </si>
  <si>
    <t xml:space="preserve">BY COUNSTANT</t>
  </si>
  <si>
    <t xml:space="preserve">FOFANA FATOUMA</t>
  </si>
  <si>
    <t xml:space="preserve">DIANE MAMADOU</t>
  </si>
  <si>
    <t xml:space="preserve">TINZAN BI</t>
  </si>
  <si>
    <t>Élément</t>
  </si>
  <si>
    <t>Note</t>
  </si>
  <si>
    <t>Source</t>
  </si>
  <si>
    <t xml:space="preserve">Bilan_Chinois.pdf, pages 1 et 2</t>
  </si>
  <si>
    <t>Période</t>
  </si>
  <si>
    <t xml:space="preserve">14 au 20 octobre 2026</t>
  </si>
  <si>
    <t>Qualité</t>
  </si>
  <si>
    <t xml:space="preserve">Transcription visuelle du PDF numérisé ; vérifier les chiffres sur la source avant diffusion officielle.</t>
  </si>
  <si>
    <t xml:space="preserve">Médicaments délivrés</t>
  </si>
  <si>
    <t xml:space="preserve">Valeurs des médicaments renseignées selon les corrections communiquées : total 22 087 boîtes.</t>
  </si>
  <si>
    <t xml:space="preserve">Corrections ordonnances</t>
  </si>
  <si>
    <t xml:space="preserve">18/10/2026 : 694 → 864 ; 20/10/2026 : 405 → 495.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</si>
</sst>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rlito"/>
    </font>
    <font>
      <b/>
      <sz val="11.000000"/>
      <color indexed="65"/>
      <name val="Carlito"/>
    </font>
    <font>
      <b/>
      <sz val="11.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AF6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6">
    <xf fontId="0" fillId="0" borderId="0" numFmtId="0" xfId="0"/>
    <xf fontId="1" fillId="2" borderId="0" numFmtId="0" xfId="0" applyFont="1" applyFill="1" applyAlignment="1">
      <alignment wrapText="1"/>
    </xf>
    <xf fontId="0" fillId="0" borderId="0" numFmtId="3" xfId="0" applyNumberFormat="1"/>
    <xf fontId="2" fillId="3" borderId="0" numFmtId="0" xfId="0" applyFont="1" applyFill="1"/>
    <xf fontId="2" fillId="3" borderId="0" numFmtId="3" xfId="0" applyNumberFormat="1" applyFont="1" applyFill="1"/>
    <xf fontId="1" fillId="2" borderId="0" numFmtId="0" xfId="0" applyFont="1" applyFill="1"/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BilanJournalier" ref="A1:W8" headerRowCount="1" totalsRowCount="0">
  <tableColumns count="23">
    <tableColumn id="1" name="Date"/>
    <tableColumn id="2" name="Consultations total"/>
    <tableColumn id="3" name="Bilans santé total"/>
    <tableColumn id="4" name="Bilans santé VIP chinois"/>
    <tableColumn id="5" name="Bilans santé VIP ivoiriens"/>
    <tableColumn id="6" name="Hospitalisations entrées"/>
    <tableColumn id="7" name="Hospitalisations sorties"/>
    <tableColumn id="8" name="Patients hospitalisés"/>
    <tableColumn id="9" name="Chirurgie total"/>
    <tableColumn id="10" name="Chirurgie ambulatoire"/>
    <tableColumn id="11" name="Chirurgie avec hospitalisation"/>
    <tableColumn id="12" name="Consultations à bord"/>
    <tableColumn id="13" name="Examens total"/>
    <tableColumn id="14" name="CT"/>
    <tableColumn id="15" name="DR"/>
    <tableColumn id="16" name="Échographie"/>
    <tableColumn id="17" name="ECG"/>
    <tableColumn id="18" name="Analyses laboratoire"/>
    <tableColumn id="19" name="Anatomopathologie"/>
    <tableColumn id="20" name="Endoscopie digestive"/>
    <tableColumn id="21" name="Équipe médicale (actes)"/>
    <tableColumn id="22" name="Ordonnances"/>
    <tableColumn id="23" name="Médicaments délivrés (boîtes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PatientsInterventions" ref="A1:F23" headerRowCount="1" totalsRowCount="0">
  <tableColumns count="6">
    <tableColumn id="1" name="N°"/>
    <tableColumn id="2" name="Date intervention"/>
    <tableColumn id="3" name="Intervention chirurgicale"/>
    <tableColumn id="4" name="Patient"/>
    <tableColumn id="5" name="Sexe"/>
    <tableColumn id="6" name="Âg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width="16"/>
    <col customWidth="1" min="2" max="23" width="18"/>
  </cols>
  <sheetData>
    <row r="1" ht="5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t="s">
        <v>23</v>
      </c>
      <c r="B2">
        <v>440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>
        <v>2</v>
      </c>
      <c r="K2">
        <v>0</v>
      </c>
      <c r="L2">
        <v>440</v>
      </c>
      <c r="M2">
        <v>216</v>
      </c>
      <c r="N2">
        <v>43</v>
      </c>
      <c r="O2">
        <v>9</v>
      </c>
      <c r="P2">
        <v>67</v>
      </c>
      <c r="Q2">
        <v>26</v>
      </c>
      <c r="R2">
        <v>71</v>
      </c>
      <c r="S2">
        <v>0</v>
      </c>
      <c r="T2">
        <v>0</v>
      </c>
      <c r="U2">
        <v>0</v>
      </c>
      <c r="V2">
        <v>247</v>
      </c>
      <c r="W2" s="2">
        <v>989</v>
      </c>
    </row>
    <row r="3">
      <c r="A3" t="s">
        <v>24</v>
      </c>
      <c r="B3">
        <v>453</v>
      </c>
      <c r="C3">
        <v>33</v>
      </c>
      <c r="D3">
        <v>22</v>
      </c>
      <c r="E3">
        <v>11</v>
      </c>
      <c r="F3">
        <v>5</v>
      </c>
      <c r="G3">
        <v>3</v>
      </c>
      <c r="H3">
        <v>2</v>
      </c>
      <c r="I3">
        <v>5</v>
      </c>
      <c r="J3">
        <v>0</v>
      </c>
      <c r="K3">
        <v>5</v>
      </c>
      <c r="L3">
        <v>420</v>
      </c>
      <c r="M3">
        <v>477</v>
      </c>
      <c r="N3">
        <v>60</v>
      </c>
      <c r="O3">
        <v>17</v>
      </c>
      <c r="P3">
        <v>91</v>
      </c>
      <c r="Q3">
        <v>51</v>
      </c>
      <c r="R3">
        <v>256</v>
      </c>
      <c r="S3">
        <v>2</v>
      </c>
      <c r="T3">
        <v>0</v>
      </c>
      <c r="U3">
        <v>0</v>
      </c>
      <c r="V3">
        <v>236</v>
      </c>
      <c r="W3" s="2">
        <v>963</v>
      </c>
    </row>
    <row r="4">
      <c r="A4" t="s">
        <v>25</v>
      </c>
      <c r="B4">
        <v>1161</v>
      </c>
      <c r="C4">
        <v>30</v>
      </c>
      <c r="D4">
        <v>0</v>
      </c>
      <c r="E4">
        <v>30</v>
      </c>
      <c r="F4">
        <v>7</v>
      </c>
      <c r="G4">
        <v>7</v>
      </c>
      <c r="H4">
        <v>2</v>
      </c>
      <c r="I4">
        <v>9</v>
      </c>
      <c r="J4">
        <v>3</v>
      </c>
      <c r="K4">
        <v>6</v>
      </c>
      <c r="L4">
        <v>891</v>
      </c>
      <c r="M4">
        <v>642</v>
      </c>
      <c r="N4">
        <v>155</v>
      </c>
      <c r="O4">
        <v>29</v>
      </c>
      <c r="P4">
        <v>125</v>
      </c>
      <c r="Q4">
        <v>64</v>
      </c>
      <c r="R4">
        <v>268</v>
      </c>
      <c r="S4">
        <v>1</v>
      </c>
      <c r="T4">
        <v>5</v>
      </c>
      <c r="U4">
        <v>240</v>
      </c>
      <c r="V4">
        <v>879</v>
      </c>
      <c r="W4" s="2">
        <v>3760</v>
      </c>
    </row>
    <row r="5">
      <c r="A5" t="s">
        <v>26</v>
      </c>
      <c r="B5">
        <v>1616</v>
      </c>
      <c r="C5">
        <v>4</v>
      </c>
      <c r="D5">
        <v>0</v>
      </c>
      <c r="E5">
        <v>4</v>
      </c>
      <c r="F5">
        <v>5</v>
      </c>
      <c r="G5">
        <v>1</v>
      </c>
      <c r="H5">
        <v>6</v>
      </c>
      <c r="I5">
        <v>6</v>
      </c>
      <c r="J5">
        <v>2</v>
      </c>
      <c r="K5">
        <v>4</v>
      </c>
      <c r="L5">
        <v>1412</v>
      </c>
      <c r="M5">
        <v>388</v>
      </c>
      <c r="N5">
        <v>73</v>
      </c>
      <c r="O5">
        <v>52</v>
      </c>
      <c r="P5">
        <v>115</v>
      </c>
      <c r="Q5">
        <v>31</v>
      </c>
      <c r="R5">
        <v>115</v>
      </c>
      <c r="S5">
        <v>2</v>
      </c>
      <c r="T5">
        <v>0</v>
      </c>
      <c r="U5">
        <v>200</v>
      </c>
      <c r="V5">
        <v>1145</v>
      </c>
      <c r="W5" s="2">
        <v>5216</v>
      </c>
    </row>
    <row r="6">
      <c r="A6" t="s">
        <v>27</v>
      </c>
      <c r="B6">
        <v>1405</v>
      </c>
      <c r="C6">
        <v>0</v>
      </c>
      <c r="D6">
        <v>0</v>
      </c>
      <c r="E6">
        <v>0</v>
      </c>
      <c r="F6">
        <v>3</v>
      </c>
      <c r="G6">
        <v>4</v>
      </c>
      <c r="H6">
        <v>5</v>
      </c>
      <c r="I6">
        <v>9</v>
      </c>
      <c r="J6">
        <v>5</v>
      </c>
      <c r="K6">
        <v>4</v>
      </c>
      <c r="L6">
        <v>1405</v>
      </c>
      <c r="M6">
        <v>432</v>
      </c>
      <c r="N6">
        <v>92</v>
      </c>
      <c r="O6">
        <v>49</v>
      </c>
      <c r="P6">
        <v>122</v>
      </c>
      <c r="Q6">
        <v>35</v>
      </c>
      <c r="R6">
        <v>128</v>
      </c>
      <c r="S6">
        <v>6</v>
      </c>
      <c r="T6">
        <v>0</v>
      </c>
      <c r="U6">
        <v>0</v>
      </c>
      <c r="V6">
        <v>864</v>
      </c>
      <c r="W6" s="2">
        <v>4054</v>
      </c>
    </row>
    <row r="7">
      <c r="A7" t="s">
        <v>28</v>
      </c>
      <c r="B7">
        <v>1617</v>
      </c>
      <c r="C7">
        <v>1</v>
      </c>
      <c r="D7">
        <v>0</v>
      </c>
      <c r="E7">
        <v>1</v>
      </c>
      <c r="F7">
        <v>3</v>
      </c>
      <c r="G7">
        <v>6</v>
      </c>
      <c r="H7">
        <v>2</v>
      </c>
      <c r="I7">
        <v>6</v>
      </c>
      <c r="J7">
        <v>3</v>
      </c>
      <c r="K7">
        <v>3</v>
      </c>
      <c r="L7">
        <v>1516</v>
      </c>
      <c r="M7">
        <v>320</v>
      </c>
      <c r="N7">
        <v>67</v>
      </c>
      <c r="O7">
        <v>38</v>
      </c>
      <c r="P7">
        <v>115</v>
      </c>
      <c r="Q7">
        <v>32</v>
      </c>
      <c r="R7">
        <v>66</v>
      </c>
      <c r="S7">
        <v>2</v>
      </c>
      <c r="T7">
        <v>5</v>
      </c>
      <c r="U7">
        <v>100</v>
      </c>
      <c r="V7">
        <v>1098</v>
      </c>
      <c r="W7" s="2">
        <v>4452</v>
      </c>
    </row>
    <row r="8">
      <c r="A8" t="s">
        <v>29</v>
      </c>
      <c r="B8">
        <v>874</v>
      </c>
      <c r="C8">
        <v>0</v>
      </c>
      <c r="D8">
        <v>0</v>
      </c>
      <c r="E8">
        <v>0</v>
      </c>
      <c r="F8">
        <v>0</v>
      </c>
      <c r="G8">
        <v>2</v>
      </c>
      <c r="H8">
        <v>0</v>
      </c>
      <c r="I8">
        <v>1</v>
      </c>
      <c r="J8">
        <v>1</v>
      </c>
      <c r="K8">
        <v>0</v>
      </c>
      <c r="L8">
        <v>874</v>
      </c>
      <c r="M8">
        <v>263</v>
      </c>
      <c r="N8">
        <v>76</v>
      </c>
      <c r="O8">
        <v>13</v>
      </c>
      <c r="P8">
        <v>74</v>
      </c>
      <c r="Q8">
        <v>13</v>
      </c>
      <c r="R8">
        <v>86</v>
      </c>
      <c r="S8">
        <v>1</v>
      </c>
      <c r="T8">
        <v>0</v>
      </c>
      <c r="U8">
        <v>0</v>
      </c>
      <c r="V8">
        <v>495</v>
      </c>
      <c r="W8" s="2">
        <v>2653</v>
      </c>
    </row>
    <row r="9">
      <c r="A9" s="3" t="s">
        <v>30</v>
      </c>
      <c r="B9" s="3">
        <f>SUM(B2:B8)</f>
        <v>7566</v>
      </c>
      <c r="C9" s="3">
        <f>SUM(C2:C8)</f>
        <v>68</v>
      </c>
      <c r="D9" s="3">
        <f>SUM(D2:D8)</f>
        <v>22</v>
      </c>
      <c r="E9" s="3">
        <f>SUM(E2:E8)</f>
        <v>46</v>
      </c>
      <c r="F9" s="3">
        <f>SUM(F2:F8)</f>
        <v>23</v>
      </c>
      <c r="G9" s="3">
        <f>SUM(G2:G8)</f>
        <v>23</v>
      </c>
      <c r="H9" s="3">
        <f>SUM(H2:H8)</f>
        <v>17</v>
      </c>
      <c r="I9" s="3">
        <f>SUM(I2:I8)</f>
        <v>38</v>
      </c>
      <c r="J9" s="3">
        <f>SUM(J2:J8)</f>
        <v>16</v>
      </c>
      <c r="K9" s="3">
        <f>SUM(K2:K8)</f>
        <v>22</v>
      </c>
      <c r="L9" s="3">
        <f>SUM(L2:L8)</f>
        <v>6958</v>
      </c>
      <c r="M9" s="3">
        <f>SUM(M2:M8)</f>
        <v>2738</v>
      </c>
      <c r="N9" s="3">
        <f>SUM(N2:N8)</f>
        <v>566</v>
      </c>
      <c r="O9" s="3">
        <f>SUM(O2:O8)</f>
        <v>207</v>
      </c>
      <c r="P9" s="3">
        <f>SUM(P2:P8)</f>
        <v>709</v>
      </c>
      <c r="Q9" s="3">
        <f>SUM(Q2:Q8)</f>
        <v>252</v>
      </c>
      <c r="R9" s="3">
        <f>SUM(R2:R8)</f>
        <v>990</v>
      </c>
      <c r="S9" s="3">
        <f>SUM(S2:S8)</f>
        <v>14</v>
      </c>
      <c r="T9" s="3">
        <f>SUM(T2:T8)</f>
        <v>10</v>
      </c>
      <c r="U9" s="3">
        <f>SUM(U2:U8)</f>
        <v>540</v>
      </c>
      <c r="V9" s="3">
        <f>SUM(V2:V8)</f>
        <v>4964</v>
      </c>
      <c r="W9" s="4">
        <f>SUM(W2:W8)</f>
        <v>22087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" topLeftCell="A2" activePane="bottomLeft" state="frozen"/>
      <selection activeCell="A1" activeCellId="0" sqref="A1"/>
    </sheetView>
  </sheetViews>
  <sheetFormatPr defaultRowHeight="15"/>
  <cols>
    <col customWidth="1" min="1" max="2" width="19"/>
    <col customWidth="1" min="3" max="3" width="65"/>
    <col customWidth="1" min="4" max="4" width="28"/>
    <col customWidth="1" min="5" max="6" width="19"/>
  </cols>
  <sheetData>
    <row r="1" ht="24" customHeight="1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</row>
    <row r="2" ht="24" customHeight="1">
      <c r="A2">
        <v>1</v>
      </c>
      <c r="B2" t="s">
        <v>24</v>
      </c>
      <c r="C2" t="s">
        <v>37</v>
      </c>
      <c r="D2" t="s">
        <v>38</v>
      </c>
      <c r="E2" t="s">
        <v>39</v>
      </c>
      <c r="F2">
        <v>35</v>
      </c>
    </row>
    <row r="3" ht="24" customHeight="1">
      <c r="A3">
        <v>2</v>
      </c>
      <c r="B3" t="s">
        <v>24</v>
      </c>
      <c r="C3" t="s">
        <v>37</v>
      </c>
      <c r="D3" t="s">
        <v>40</v>
      </c>
      <c r="E3" t="s">
        <v>39</v>
      </c>
      <c r="F3">
        <v>47</v>
      </c>
    </row>
    <row r="4" ht="24" customHeight="1">
      <c r="A4">
        <v>3</v>
      </c>
      <c r="B4" t="s">
        <v>24</v>
      </c>
      <c r="C4" t="s">
        <v>37</v>
      </c>
      <c r="D4" t="s">
        <v>41</v>
      </c>
      <c r="E4" t="s">
        <v>39</v>
      </c>
      <c r="F4">
        <v>23</v>
      </c>
    </row>
    <row r="5" ht="24" customHeight="1">
      <c r="A5">
        <v>4</v>
      </c>
      <c r="B5" t="s">
        <v>24</v>
      </c>
      <c r="C5" t="s">
        <v>42</v>
      </c>
      <c r="D5" t="s">
        <v>43</v>
      </c>
      <c r="E5" t="s">
        <v>39</v>
      </c>
      <c r="F5">
        <v>62</v>
      </c>
    </row>
    <row r="6" ht="24" customHeight="1">
      <c r="A6">
        <v>5</v>
      </c>
      <c r="B6" t="s">
        <v>24</v>
      </c>
      <c r="C6" t="s">
        <v>44</v>
      </c>
      <c r="D6" t="s">
        <v>45</v>
      </c>
      <c r="E6" t="s">
        <v>46</v>
      </c>
      <c r="F6">
        <v>43</v>
      </c>
    </row>
    <row r="7" ht="24" customHeight="1">
      <c r="A7">
        <v>6</v>
      </c>
      <c r="B7" t="s">
        <v>25</v>
      </c>
      <c r="C7" t="s">
        <v>37</v>
      </c>
      <c r="D7" t="s">
        <v>47</v>
      </c>
      <c r="E7" t="s">
        <v>46</v>
      </c>
      <c r="F7">
        <v>68</v>
      </c>
    </row>
    <row r="8" ht="24" customHeight="1">
      <c r="A8">
        <v>7</v>
      </c>
      <c r="B8" t="s">
        <v>25</v>
      </c>
      <c r="C8" t="s">
        <v>37</v>
      </c>
      <c r="D8" t="s">
        <v>48</v>
      </c>
      <c r="E8" t="s">
        <v>46</v>
      </c>
      <c r="F8">
        <v>19</v>
      </c>
    </row>
    <row r="9" ht="24" customHeight="1">
      <c r="A9">
        <v>8</v>
      </c>
      <c r="B9" t="s">
        <v>25</v>
      </c>
      <c r="C9" t="s">
        <v>37</v>
      </c>
      <c r="D9" t="s">
        <v>45</v>
      </c>
      <c r="E9" t="s">
        <v>39</v>
      </c>
      <c r="F9">
        <v>61</v>
      </c>
    </row>
    <row r="10" ht="24" customHeight="1">
      <c r="A10">
        <v>9</v>
      </c>
      <c r="B10" t="s">
        <v>25</v>
      </c>
      <c r="C10" t="s">
        <v>37</v>
      </c>
      <c r="D10" t="s">
        <v>49</v>
      </c>
      <c r="E10" t="s">
        <v>39</v>
      </c>
      <c r="F10">
        <v>40</v>
      </c>
    </row>
    <row r="11" ht="24" customHeight="1">
      <c r="A11">
        <v>10</v>
      </c>
      <c r="B11" t="s">
        <v>25</v>
      </c>
      <c r="C11" t="s">
        <v>50</v>
      </c>
      <c r="D11" t="s">
        <v>51</v>
      </c>
      <c r="E11" t="s">
        <v>39</v>
      </c>
      <c r="F11">
        <v>53</v>
      </c>
    </row>
    <row r="12" ht="24" customHeight="1">
      <c r="A12">
        <v>11</v>
      </c>
      <c r="B12" t="s">
        <v>25</v>
      </c>
      <c r="C12" t="s">
        <v>37</v>
      </c>
      <c r="D12" t="s">
        <v>52</v>
      </c>
      <c r="E12" t="s">
        <v>39</v>
      </c>
      <c r="F12">
        <v>47</v>
      </c>
    </row>
    <row r="13" ht="24" customHeight="1">
      <c r="A13">
        <v>12</v>
      </c>
      <c r="B13" t="s">
        <v>26</v>
      </c>
      <c r="C13" t="s">
        <v>37</v>
      </c>
      <c r="D13" t="s">
        <v>53</v>
      </c>
      <c r="E13" t="s">
        <v>39</v>
      </c>
      <c r="F13">
        <v>45</v>
      </c>
    </row>
    <row r="14" ht="24" customHeight="1">
      <c r="A14">
        <v>13</v>
      </c>
      <c r="B14" t="s">
        <v>26</v>
      </c>
      <c r="C14" t="s">
        <v>54</v>
      </c>
      <c r="D14" t="s">
        <v>55</v>
      </c>
      <c r="E14" t="s">
        <v>46</v>
      </c>
      <c r="F14">
        <v>60</v>
      </c>
    </row>
    <row r="15" ht="24" customHeight="1">
      <c r="A15">
        <v>14</v>
      </c>
      <c r="B15" t="s">
        <v>26</v>
      </c>
      <c r="C15" t="s">
        <v>56</v>
      </c>
      <c r="D15" t="s">
        <v>57</v>
      </c>
      <c r="E15" t="s">
        <v>46</v>
      </c>
      <c r="F15">
        <v>41</v>
      </c>
    </row>
    <row r="16" ht="24" customHeight="1">
      <c r="A16">
        <v>15</v>
      </c>
      <c r="B16" t="s">
        <v>26</v>
      </c>
      <c r="C16" t="s">
        <v>58</v>
      </c>
      <c r="D16" t="s">
        <v>59</v>
      </c>
      <c r="E16" t="s">
        <v>46</v>
      </c>
      <c r="F16">
        <v>68</v>
      </c>
    </row>
    <row r="17" ht="24" customHeight="1">
      <c r="A17">
        <v>16</v>
      </c>
      <c r="B17" t="s">
        <v>27</v>
      </c>
      <c r="C17" t="s">
        <v>60</v>
      </c>
      <c r="D17" t="s">
        <v>61</v>
      </c>
      <c r="E17" t="s">
        <v>39</v>
      </c>
      <c r="F17">
        <v>58</v>
      </c>
    </row>
    <row r="18" ht="24" customHeight="1">
      <c r="A18">
        <v>17</v>
      </c>
      <c r="B18" t="s">
        <v>27</v>
      </c>
      <c r="C18" t="s">
        <v>62</v>
      </c>
      <c r="D18" t="s">
        <v>63</v>
      </c>
      <c r="E18" t="s">
        <v>46</v>
      </c>
      <c r="F18">
        <v>51</v>
      </c>
    </row>
    <row r="19" ht="24" customHeight="1">
      <c r="A19">
        <v>18</v>
      </c>
      <c r="B19" t="s">
        <v>27</v>
      </c>
      <c r="C19" t="s">
        <v>60</v>
      </c>
      <c r="D19" t="s">
        <v>64</v>
      </c>
      <c r="E19" t="s">
        <v>39</v>
      </c>
      <c r="F19">
        <v>56</v>
      </c>
    </row>
    <row r="20" ht="24" customHeight="1">
      <c r="A20">
        <v>19</v>
      </c>
      <c r="B20" t="s">
        <v>27</v>
      </c>
      <c r="C20" t="s">
        <v>65</v>
      </c>
      <c r="D20" t="s">
        <v>66</v>
      </c>
      <c r="E20" t="s">
        <v>39</v>
      </c>
      <c r="F20">
        <v>58</v>
      </c>
    </row>
    <row r="21" ht="24" customHeight="1">
      <c r="A21">
        <v>20</v>
      </c>
      <c r="B21" t="s">
        <v>28</v>
      </c>
      <c r="C21" t="s">
        <v>62</v>
      </c>
      <c r="D21" t="s">
        <v>67</v>
      </c>
      <c r="E21" t="s">
        <v>46</v>
      </c>
      <c r="F21">
        <v>65</v>
      </c>
    </row>
    <row r="22" ht="24" customHeight="1">
      <c r="A22">
        <v>21</v>
      </c>
      <c r="B22" t="s">
        <v>28</v>
      </c>
      <c r="C22" t="s">
        <v>62</v>
      </c>
      <c r="D22" t="s">
        <v>68</v>
      </c>
      <c r="E22" t="s">
        <v>46</v>
      </c>
      <c r="F22">
        <v>39</v>
      </c>
    </row>
    <row r="23" ht="24" customHeight="1">
      <c r="A23">
        <v>22</v>
      </c>
      <c r="B23" t="s">
        <v>28</v>
      </c>
      <c r="C23" t="s">
        <v>62</v>
      </c>
      <c r="D23" t="s">
        <v>69</v>
      </c>
      <c r="E23" t="s">
        <v>46</v>
      </c>
      <c r="F23">
        <v>65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6"/>
    <col customWidth="1" min="2" max="2" width="100"/>
  </cols>
  <sheetData>
    <row r="1">
      <c r="A1" t="s">
        <v>70</v>
      </c>
      <c r="B1" t="s">
        <v>71</v>
      </c>
    </row>
    <row r="2">
      <c r="A2" t="s">
        <v>72</v>
      </c>
      <c r="B2" t="s">
        <v>73</v>
      </c>
    </row>
    <row r="3">
      <c r="A3" t="s">
        <v>74</v>
      </c>
      <c r="B3" t="s">
        <v>75</v>
      </c>
    </row>
    <row r="4">
      <c r="A4" t="s">
        <v>76</v>
      </c>
      <c r="B4" t="s">
        <v>77</v>
      </c>
    </row>
    <row r="5">
      <c r="A5" t="s">
        <v>78</v>
      </c>
      <c r="B5" t="s">
        <v>79</v>
      </c>
    </row>
    <row r="6">
      <c r="A6" t="s">
        <v>80</v>
      </c>
      <c r="B6" t="s">
        <v>81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2026-10-23T13:26:26Z</dcterms:modified>
</cp:coreProperties>
</file>